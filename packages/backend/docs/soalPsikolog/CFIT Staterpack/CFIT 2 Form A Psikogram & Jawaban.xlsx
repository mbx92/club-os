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mbx.BROSINAHOSPITAL\Downloads\CFIT Staterpack\"/>
    </mc:Choice>
  </mc:AlternateContent>
  <xr:revisionPtr revIDLastSave="0" documentId="13_ncr:1_{8CF0C385-0EE2-473F-8EF6-908DD52002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Lembar1" sheetId="1" r:id="rId1"/>
    <sheet name="JAWABAN" sheetId="2" r:id="rId2"/>
    <sheet name="RAW SCO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7" roundtripDataChecksum="KB20th5bb5VOalLbLtrGnWPtgYJCewqH0775Yx0HcEk="/>
    </ext>
  </extLst>
</workbook>
</file>

<file path=xl/calcChain.xml><?xml version="1.0" encoding="utf-8"?>
<calcChain xmlns="http://schemas.openxmlformats.org/spreadsheetml/2006/main">
  <c r="J25" i="1" l="1"/>
  <c r="G24" i="1"/>
  <c r="G23" i="1"/>
  <c r="J22" i="1"/>
  <c r="G22" i="1"/>
  <c r="D22" i="1"/>
  <c r="J21" i="1"/>
  <c r="G21" i="1"/>
  <c r="D21" i="1"/>
  <c r="J20" i="1"/>
  <c r="G20" i="1"/>
  <c r="D20" i="1"/>
  <c r="J19" i="1"/>
  <c r="G19" i="1"/>
  <c r="D19" i="1"/>
  <c r="M18" i="1"/>
  <c r="J18" i="1"/>
  <c r="G18" i="1"/>
  <c r="D18" i="1"/>
  <c r="M17" i="1"/>
  <c r="J17" i="1"/>
  <c r="G17" i="1"/>
  <c r="D17" i="1"/>
  <c r="M16" i="1"/>
  <c r="J16" i="1"/>
  <c r="G16" i="1"/>
  <c r="D16" i="1"/>
  <c r="M15" i="1"/>
  <c r="J15" i="1"/>
  <c r="G15" i="1"/>
  <c r="D15" i="1"/>
  <c r="M14" i="1"/>
  <c r="J14" i="1"/>
  <c r="G14" i="1"/>
  <c r="D14" i="1"/>
  <c r="M13" i="1"/>
  <c r="J13" i="1"/>
  <c r="G13" i="1"/>
  <c r="D13" i="1"/>
  <c r="M12" i="1"/>
  <c r="J12" i="1"/>
  <c r="G12" i="1"/>
  <c r="D12" i="1"/>
  <c r="M11" i="1"/>
  <c r="M25" i="1" s="1"/>
  <c r="J11" i="1"/>
  <c r="G11" i="1"/>
  <c r="G25" i="1" s="1"/>
  <c r="D11" i="1"/>
  <c r="D25" i="1" s="1"/>
  <c r="O25" i="1" s="1"/>
  <c r="F6" i="1"/>
  <c r="E28" i="1" l="1"/>
  <c r="B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ID#AAABpha_Tv8
x401    (2025-08-13 07:13:40)
persona: tulis jawaban misal AB, BC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kS6SOw+UfjKXVvyv4QmDqIgZH3g=="/>
    </ext>
  </extLst>
</comments>
</file>

<file path=xl/sharedStrings.xml><?xml version="1.0" encoding="utf-8"?>
<sst xmlns="http://schemas.openxmlformats.org/spreadsheetml/2006/main" count="197" uniqueCount="36">
  <si>
    <t>PSIKOGRAM CIFT 2 FORM A</t>
  </si>
  <si>
    <t>Nama</t>
  </si>
  <si>
    <t>:</t>
  </si>
  <si>
    <t>JK (L/P)</t>
  </si>
  <si>
    <t>Tgl Tes</t>
  </si>
  <si>
    <t>(dd/mm/yyyy)</t>
  </si>
  <si>
    <t>Tgl Lahir</t>
  </si>
  <si>
    <t>Usia</t>
  </si>
  <si>
    <t>Silahkan Input data dan jawaban Klien di kolom sesuai</t>
  </si>
  <si>
    <t>No</t>
  </si>
  <si>
    <t>Jawaban Klien</t>
  </si>
  <si>
    <t>Tes 1</t>
  </si>
  <si>
    <t>Tes 2</t>
  </si>
  <si>
    <t>Tes 3</t>
  </si>
  <si>
    <t>Tes 4</t>
  </si>
  <si>
    <t>C</t>
  </si>
  <si>
    <t>A</t>
  </si>
  <si>
    <t>E</t>
  </si>
  <si>
    <t>B</t>
  </si>
  <si>
    <t>D</t>
  </si>
  <si>
    <t>a</t>
  </si>
  <si>
    <t>Hasil IQ dan Klasifikasi</t>
  </si>
  <si>
    <r>
      <rPr>
        <sz val="11"/>
        <color theme="1"/>
        <rFont val="Calibri"/>
      </rPr>
      <t>©</t>
    </r>
    <r>
      <rPr>
        <sz val="11"/>
        <color theme="1"/>
        <rFont val="Calibri"/>
      </rPr>
      <t>Persona Psikotes</t>
    </r>
  </si>
  <si>
    <t>CIFT</t>
  </si>
  <si>
    <t>TOTAL RAW SCORE</t>
  </si>
  <si>
    <t>14,0-14,11</t>
  </si>
  <si>
    <t>Kategori</t>
  </si>
  <si>
    <t>-</t>
  </si>
  <si>
    <t>GENIUS</t>
  </si>
  <si>
    <t>VERY SUPERIOR</t>
  </si>
  <si>
    <t>SUPERIOR</t>
  </si>
  <si>
    <t>AVERAGE</t>
  </si>
  <si>
    <t>LOW AVERAGE</t>
  </si>
  <si>
    <t>BOEDERLINE MENTAL RETARDATION</t>
  </si>
  <si>
    <t>MILD MENTAL RETARDATION</t>
  </si>
  <si>
    <t>PROFOUND MENTAL RETARFATION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</si>
</sst>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7">
    <font>
      <sz val="11"/>
      <color theme="1"/>
      <name val="Calibri"/>
      <scheme val="minor"/>
    </font>
    <font>
      <b/>
      <sz val="20"/>
      <color theme="1"/>
      <name val="Times New Roman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Times New Roman"/>
    </font>
    <font>
      <b/>
      <sz val="11"/>
      <color theme="1"/>
      <name val="Times New Roman"/>
    </font>
    <font>
      <b/>
      <sz val="11"/>
      <color theme="1"/>
      <name val="Calibri"/>
    </font>
    <font>
      <sz val="11"/>
      <color theme="1"/>
      <name val="Arial"/>
    </font>
    <font>
      <sz val="12"/>
      <color rgb="FF000000"/>
      <name val="Calibri"/>
    </font>
    <font>
      <sz val="11"/>
      <color rgb="FFFF0000"/>
      <name val="Calibri"/>
    </font>
    <font>
      <b/>
      <sz val="26"/>
      <color theme="1"/>
      <name val="Calibri"/>
    </font>
    <font>
      <sz val="16"/>
      <color theme="1"/>
      <name val="Times New Roman"/>
    </font>
    <font>
      <b/>
      <sz val="48"/>
      <color theme="1"/>
      <name val="Times New Roman"/>
    </font>
    <font>
      <b/>
      <sz val="22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3" fillId="0" borderId="0" xfId="0" applyFont="1"/>
    <xf numFmtId="0" fontId="5" fillId="0" borderId="0" xfId="0" applyFont="1"/>
    <xf numFmtId="0" fontId="6" fillId="4" borderId="10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4" fillId="5" borderId="10" xfId="0" applyFont="1" applyFill="1" applyBorder="1" applyAlignment="1">
      <alignment horizontal="center"/>
    </xf>
    <xf numFmtId="0" fontId="9" fillId="0" borderId="0" xfId="0" applyFont="1" applyAlignment="1"/>
    <xf numFmtId="0" fontId="4" fillId="0" borderId="10" xfId="0" applyFont="1" applyBorder="1"/>
    <xf numFmtId="0" fontId="4" fillId="6" borderId="10" xfId="0" applyFont="1" applyFill="1" applyBorder="1"/>
    <xf numFmtId="0" fontId="8" fillId="0" borderId="0" xfId="0" applyFont="1" applyAlignment="1"/>
    <xf numFmtId="0" fontId="10" fillId="6" borderId="10" xfId="0" applyFont="1" applyFill="1" applyBorder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12" fillId="0" borderId="0" xfId="0" applyFont="1"/>
    <xf numFmtId="0" fontId="14" fillId="4" borderId="11" xfId="0" applyFont="1" applyFill="1" applyBorder="1" applyAlignment="1">
      <alignment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top" wrapText="1"/>
    </xf>
    <xf numFmtId="0" fontId="15" fillId="0" borderId="19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3" fillId="4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4" fillId="0" borderId="12" xfId="0" applyFont="1" applyBorder="1" applyAlignment="1">
      <alignment horizontal="center"/>
    </xf>
    <xf numFmtId="0" fontId="2" fillId="0" borderId="12" xfId="0" applyFont="1" applyBorder="1"/>
    <xf numFmtId="0" fontId="15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C11" sqref="C11"/>
    </sheetView>
  </sheetViews>
  <sheetFormatPr defaultColWidth="14.42578125" defaultRowHeight="15" customHeight="1"/>
  <cols>
    <col min="1" max="14" width="11.42578125" customWidth="1"/>
    <col min="15" max="15" width="3" bestFit="1" customWidth="1"/>
    <col min="16" max="16" width="7.85546875" customWidth="1"/>
    <col min="17" max="17" width="8.7109375" customWidth="1"/>
    <col min="18" max="18" width="4.5703125" customWidth="1"/>
    <col min="19" max="19" width="9.140625" customWidth="1"/>
    <col min="20" max="20" width="4" customWidth="1"/>
    <col min="21" max="21" width="8.7109375" customWidth="1"/>
    <col min="22" max="22" width="4.140625" customWidth="1"/>
    <col min="23" max="26" width="8.7109375" customWidth="1"/>
  </cols>
  <sheetData>
    <row r="1" spans="1:18" ht="46.5" customHeight="1">
      <c r="A1" s="31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28"/>
    </row>
    <row r="2" spans="1:18">
      <c r="B2" s="1" t="s">
        <v>1</v>
      </c>
      <c r="E2" s="1" t="s">
        <v>2</v>
      </c>
      <c r="F2" s="32"/>
      <c r="G2" s="25"/>
      <c r="H2" s="25"/>
      <c r="I2" s="26"/>
    </row>
    <row r="3" spans="1:18">
      <c r="B3" s="1" t="s">
        <v>3</v>
      </c>
      <c r="E3" s="1" t="s">
        <v>2</v>
      </c>
      <c r="F3" s="32"/>
      <c r="G3" s="25"/>
      <c r="H3" s="25"/>
      <c r="I3" s="26"/>
    </row>
    <row r="4" spans="1:18">
      <c r="B4" s="1" t="s">
        <v>4</v>
      </c>
      <c r="E4" s="1" t="s">
        <v>2</v>
      </c>
      <c r="F4" s="33"/>
      <c r="G4" s="25"/>
      <c r="H4" s="25"/>
      <c r="I4" s="26"/>
      <c r="K4" s="1" t="s">
        <v>5</v>
      </c>
    </row>
    <row r="5" spans="1:18">
      <c r="B5" s="1" t="s">
        <v>6</v>
      </c>
      <c r="E5" s="1" t="s">
        <v>2</v>
      </c>
      <c r="F5" s="33"/>
      <c r="G5" s="25"/>
      <c r="H5" s="25"/>
      <c r="I5" s="26"/>
      <c r="K5" s="1" t="s">
        <v>5</v>
      </c>
    </row>
    <row r="6" spans="1:18">
      <c r="B6" s="1" t="s">
        <v>7</v>
      </c>
      <c r="E6" s="1" t="s">
        <v>2</v>
      </c>
      <c r="F6" s="34" t="str">
        <f>DATEDIF(F5,F4,"Y")&amp;"Tahun,"&amp;DATEDIF(F5,F4,"YM")&amp;"Bulan,"&amp;DATEDIF(F5,F4,"MD")&amp;"Hari"</f>
        <v>0Tahun,0Bulan,0Hari</v>
      </c>
      <c r="G6" s="35"/>
      <c r="H6" s="35"/>
      <c r="I6" s="36"/>
    </row>
    <row r="7" spans="1:18" ht="45.75" customHeight="1"/>
    <row r="8" spans="1:18">
      <c r="B8" s="2" t="s">
        <v>8</v>
      </c>
    </row>
    <row r="9" spans="1:18" ht="30" customHeight="1">
      <c r="B9" s="3" t="s">
        <v>9</v>
      </c>
      <c r="C9" s="3" t="s">
        <v>10</v>
      </c>
      <c r="D9" s="3"/>
      <c r="E9" s="3" t="s">
        <v>9</v>
      </c>
      <c r="F9" s="3" t="s">
        <v>10</v>
      </c>
      <c r="G9" s="3"/>
      <c r="H9" s="3" t="s">
        <v>9</v>
      </c>
      <c r="I9" s="3" t="s">
        <v>10</v>
      </c>
      <c r="J9" s="3"/>
      <c r="K9" s="3" t="s">
        <v>9</v>
      </c>
      <c r="L9" s="3" t="s">
        <v>10</v>
      </c>
    </row>
    <row r="10" spans="1:18">
      <c r="B10" s="24" t="s">
        <v>11</v>
      </c>
      <c r="C10" s="25"/>
      <c r="D10" s="26"/>
      <c r="E10" s="24" t="s">
        <v>12</v>
      </c>
      <c r="F10" s="25"/>
      <c r="G10" s="26"/>
      <c r="H10" s="24" t="s">
        <v>13</v>
      </c>
      <c r="I10" s="25"/>
      <c r="J10" s="26"/>
      <c r="K10" s="24" t="s">
        <v>14</v>
      </c>
      <c r="L10" s="25"/>
      <c r="M10" s="26"/>
      <c r="R10" s="4"/>
    </row>
    <row r="11" spans="1:18" ht="15.75">
      <c r="B11" s="5">
        <v>1</v>
      </c>
      <c r="C11" s="6" t="s">
        <v>15</v>
      </c>
      <c r="D11" s="7">
        <f>IF(C11=JAWABAN!B5,1,0)</f>
        <v>1</v>
      </c>
      <c r="E11" s="5">
        <v>1</v>
      </c>
      <c r="F11" s="6" t="s">
        <v>16</v>
      </c>
      <c r="G11" s="7">
        <f>IF(F11=JAWABAN!D5,1,0)</f>
        <v>0</v>
      </c>
      <c r="H11" s="5">
        <v>1</v>
      </c>
      <c r="I11" s="6" t="s">
        <v>17</v>
      </c>
      <c r="J11" s="7">
        <f>IF(I11=JAWABAN!F5,1,0)</f>
        <v>0</v>
      </c>
      <c r="K11" s="5">
        <v>1</v>
      </c>
      <c r="L11" s="6" t="s">
        <v>16</v>
      </c>
      <c r="M11" s="7">
        <f>IF(L11=JAWABAN!H5,1,0)</f>
        <v>0</v>
      </c>
      <c r="R11" s="4"/>
    </row>
    <row r="12" spans="1:18" ht="15.75">
      <c r="B12" s="5">
        <v>2</v>
      </c>
      <c r="C12" s="6" t="s">
        <v>18</v>
      </c>
      <c r="D12" s="7">
        <f>IF(C12=JAWABAN!B6,1,0)</f>
        <v>0</v>
      </c>
      <c r="E12" s="5">
        <v>2</v>
      </c>
      <c r="F12" s="6" t="s">
        <v>17</v>
      </c>
      <c r="G12" s="7">
        <f>IF(F12=JAWABAN!D6,1,0)</f>
        <v>0</v>
      </c>
      <c r="H12" s="5">
        <v>2</v>
      </c>
      <c r="I12" s="6" t="s">
        <v>15</v>
      </c>
      <c r="J12" s="7">
        <f>IF(I12=JAWABAN!F6,1,0)</f>
        <v>1</v>
      </c>
      <c r="K12" s="5">
        <v>2</v>
      </c>
      <c r="L12" s="6" t="s">
        <v>15</v>
      </c>
      <c r="M12" s="7">
        <f>IF(L12=JAWABAN!H6,1,0)</f>
        <v>0</v>
      </c>
      <c r="R12" s="4"/>
    </row>
    <row r="13" spans="1:18" ht="15.75">
      <c r="B13" s="5">
        <v>3</v>
      </c>
      <c r="C13" s="6" t="s">
        <v>19</v>
      </c>
      <c r="D13" s="7">
        <f>IF(C13=JAWABAN!B7,1,0)</f>
        <v>0</v>
      </c>
      <c r="E13" s="5">
        <v>3</v>
      </c>
      <c r="F13" s="6" t="s">
        <v>19</v>
      </c>
      <c r="G13" s="7">
        <f>IF(F13=JAWABAN!D7,1,0)</f>
        <v>1</v>
      </c>
      <c r="H13" s="5">
        <v>3</v>
      </c>
      <c r="I13" s="6" t="s">
        <v>18</v>
      </c>
      <c r="J13" s="7">
        <f>IF(I13=JAWABAN!F7,1,0)</f>
        <v>1</v>
      </c>
      <c r="K13" s="5">
        <v>3</v>
      </c>
      <c r="L13" s="6" t="s">
        <v>19</v>
      </c>
      <c r="M13" s="7">
        <f>IF(L13=JAWABAN!H7,1,0)</f>
        <v>0</v>
      </c>
      <c r="R13" s="4"/>
    </row>
    <row r="14" spans="1:18" ht="15.75">
      <c r="B14" s="5">
        <v>4</v>
      </c>
      <c r="C14" s="6" t="s">
        <v>15</v>
      </c>
      <c r="D14" s="7">
        <f>IF(C14=JAWABAN!B8,1,0)</f>
        <v>1</v>
      </c>
      <c r="E14" s="5">
        <v>4</v>
      </c>
      <c r="F14" s="6" t="s">
        <v>19</v>
      </c>
      <c r="G14" s="7">
        <f>IF(F14=JAWABAN!D8,1,0)</f>
        <v>0</v>
      </c>
      <c r="H14" s="5">
        <v>4</v>
      </c>
      <c r="I14" s="6" t="s">
        <v>16</v>
      </c>
      <c r="J14" s="7">
        <f>IF(I14=JAWABAN!F8,1,0)</f>
        <v>0</v>
      </c>
      <c r="K14" s="5">
        <v>4</v>
      </c>
      <c r="L14" s="6" t="s">
        <v>15</v>
      </c>
      <c r="M14" s="7">
        <f>IF(L14=JAWABAN!H8,1,0)</f>
        <v>0</v>
      </c>
      <c r="R14" s="4"/>
    </row>
    <row r="15" spans="1:18" ht="15.75">
      <c r="B15" s="5">
        <v>5</v>
      </c>
      <c r="C15" s="6" t="s">
        <v>15</v>
      </c>
      <c r="D15" s="7">
        <f>IF(C15=JAWABAN!B9,1,0)</f>
        <v>0</v>
      </c>
      <c r="E15" s="5">
        <v>5</v>
      </c>
      <c r="F15" s="6" t="s">
        <v>15</v>
      </c>
      <c r="G15" s="7">
        <f>IF(F15=JAWABAN!D9,1,0)</f>
        <v>1</v>
      </c>
      <c r="H15" s="5">
        <v>5</v>
      </c>
      <c r="I15" s="6" t="s">
        <v>18</v>
      </c>
      <c r="J15" s="7">
        <f>IF(I15=JAWABAN!F9,1,0)</f>
        <v>0</v>
      </c>
      <c r="K15" s="5">
        <v>5</v>
      </c>
      <c r="L15" s="6" t="s">
        <v>16</v>
      </c>
      <c r="M15" s="7">
        <f>IF(L15=JAWABAN!H9,1,0)</f>
        <v>0</v>
      </c>
      <c r="R15" s="4"/>
    </row>
    <row r="16" spans="1:18" ht="15.75">
      <c r="B16" s="5">
        <v>6</v>
      </c>
      <c r="C16" s="6" t="s">
        <v>16</v>
      </c>
      <c r="D16" s="7">
        <f>IF(C16=JAWABAN!B10,1,0)</f>
        <v>0</v>
      </c>
      <c r="E16" s="5">
        <v>6</v>
      </c>
      <c r="F16" s="6" t="s">
        <v>16</v>
      </c>
      <c r="G16" s="7">
        <f>IF(F16=JAWABAN!D10,1,0)</f>
        <v>0</v>
      </c>
      <c r="H16" s="5">
        <v>6</v>
      </c>
      <c r="I16" s="6" t="s">
        <v>17</v>
      </c>
      <c r="J16" s="7">
        <f>IF(I16=JAWABAN!F10,1,0)</f>
        <v>0</v>
      </c>
      <c r="K16" s="5">
        <v>6</v>
      </c>
      <c r="L16" s="6" t="s">
        <v>18</v>
      </c>
      <c r="M16" s="7">
        <f>IF(L16=JAWABAN!H10,1,0)</f>
        <v>0</v>
      </c>
      <c r="R16" s="4"/>
    </row>
    <row r="17" spans="1:26" ht="15.75">
      <c r="B17" s="5">
        <v>7</v>
      </c>
      <c r="C17" s="6" t="s">
        <v>19</v>
      </c>
      <c r="D17" s="7">
        <f>IF(C17=JAWABAN!B11,1,0)</f>
        <v>0</v>
      </c>
      <c r="E17" s="5">
        <v>7</v>
      </c>
      <c r="F17" s="6" t="s">
        <v>15</v>
      </c>
      <c r="G17" s="7">
        <f>IF(F17=JAWABAN!D11,1,0)</f>
        <v>0</v>
      </c>
      <c r="H17" s="5">
        <v>7</v>
      </c>
      <c r="I17" s="6" t="s">
        <v>16</v>
      </c>
      <c r="J17" s="7">
        <f>IF(I17=JAWABAN!F11,1,0)</f>
        <v>0</v>
      </c>
      <c r="K17" s="5">
        <v>7</v>
      </c>
      <c r="L17" s="6" t="s">
        <v>15</v>
      </c>
      <c r="M17" s="7">
        <f>IF(L17=JAWABAN!H11,1,0)</f>
        <v>0</v>
      </c>
      <c r="R17" s="4"/>
    </row>
    <row r="18" spans="1:26" ht="15.75">
      <c r="B18" s="5">
        <v>8</v>
      </c>
      <c r="C18" s="6" t="s">
        <v>18</v>
      </c>
      <c r="D18" s="7">
        <f>IF(C18=JAWABAN!B12,1,0)</f>
        <v>0</v>
      </c>
      <c r="E18" s="5">
        <v>8</v>
      </c>
      <c r="F18" s="6" t="s">
        <v>15</v>
      </c>
      <c r="G18" s="7">
        <f>IF(F18=JAWABAN!D12,1,0)</f>
        <v>0</v>
      </c>
      <c r="H18" s="5">
        <v>8</v>
      </c>
      <c r="I18" s="6" t="s">
        <v>19</v>
      </c>
      <c r="J18" s="7">
        <f>IF(I18=JAWABAN!F12,1,0)</f>
        <v>1</v>
      </c>
      <c r="K18" s="5">
        <v>8</v>
      </c>
      <c r="L18" s="6" t="s">
        <v>18</v>
      </c>
      <c r="M18" s="7">
        <f>IF(L18=JAWABAN!H12,1,0)</f>
        <v>1</v>
      </c>
      <c r="R18" s="4"/>
    </row>
    <row r="19" spans="1:26" ht="15.75">
      <c r="B19" s="5">
        <v>9</v>
      </c>
      <c r="C19" s="6" t="s">
        <v>15</v>
      </c>
      <c r="D19" s="7">
        <f>IF(C19=JAWABAN!B13,1,0)</f>
        <v>1</v>
      </c>
      <c r="E19" s="5">
        <v>9</v>
      </c>
      <c r="F19" s="6" t="s">
        <v>15</v>
      </c>
      <c r="G19" s="7">
        <f>IF(F19=JAWABAN!D13,1,0)</f>
        <v>0</v>
      </c>
      <c r="H19" s="5">
        <v>9</v>
      </c>
      <c r="I19" s="6" t="s">
        <v>18</v>
      </c>
      <c r="J19" s="7">
        <f>IF(I19=JAWABAN!F13,1,0)</f>
        <v>0</v>
      </c>
      <c r="K19" s="8"/>
      <c r="L19" s="8"/>
      <c r="M19" s="8"/>
      <c r="R19" s="4"/>
    </row>
    <row r="20" spans="1:26" ht="15.75">
      <c r="B20" s="5">
        <v>10</v>
      </c>
      <c r="C20" s="6" t="s">
        <v>15</v>
      </c>
      <c r="D20" s="7">
        <f>IF(C20=JAWABAN!B14,1,0)</f>
        <v>1</v>
      </c>
      <c r="E20" s="5">
        <v>10</v>
      </c>
      <c r="F20" s="6" t="s">
        <v>15</v>
      </c>
      <c r="G20" s="7">
        <f>IF(F20=JAWABAN!D14,1,0)</f>
        <v>1</v>
      </c>
      <c r="H20" s="5">
        <v>10</v>
      </c>
      <c r="I20" s="6" t="s">
        <v>16</v>
      </c>
      <c r="J20" s="7">
        <f>IF(I20=JAWABAN!F14,1,0)</f>
        <v>1</v>
      </c>
      <c r="K20" s="8"/>
      <c r="L20" s="8"/>
      <c r="M20" s="8"/>
      <c r="R20" s="4"/>
    </row>
    <row r="21" spans="1:26" ht="15.75" customHeight="1">
      <c r="B21" s="5">
        <v>11</v>
      </c>
      <c r="C21" s="6" t="s">
        <v>17</v>
      </c>
      <c r="D21" s="7">
        <f>IF(C21=JAWABAN!B15,1,0)</f>
        <v>0</v>
      </c>
      <c r="E21" s="5">
        <v>11</v>
      </c>
      <c r="F21" s="6" t="s">
        <v>16</v>
      </c>
      <c r="G21" s="7">
        <f>IF(F21=JAWABAN!D15,1,0)</f>
        <v>0</v>
      </c>
      <c r="H21" s="5">
        <v>11</v>
      </c>
      <c r="I21" s="6" t="s">
        <v>18</v>
      </c>
      <c r="J21" s="7">
        <f>IF(I21=JAWABAN!F15,1,0)</f>
        <v>1</v>
      </c>
      <c r="K21" s="8"/>
      <c r="L21" s="8"/>
      <c r="M21" s="8"/>
      <c r="R21" s="4"/>
    </row>
    <row r="22" spans="1:26" ht="15.75" customHeight="1">
      <c r="B22" s="5">
        <v>12</v>
      </c>
      <c r="C22" s="9" t="s">
        <v>20</v>
      </c>
      <c r="D22" s="7">
        <f>IF(C22=JAWABAN!B16,1,0)</f>
        <v>1</v>
      </c>
      <c r="E22" s="5">
        <v>12</v>
      </c>
      <c r="F22" s="6" t="s">
        <v>18</v>
      </c>
      <c r="G22" s="7">
        <f>IF(F22=JAWABAN!D16,1,0)</f>
        <v>0</v>
      </c>
      <c r="H22" s="5">
        <v>12</v>
      </c>
      <c r="I22" s="6" t="s">
        <v>15</v>
      </c>
      <c r="J22" s="7">
        <f>IF(I22=JAWABAN!F16,1,0)</f>
        <v>0</v>
      </c>
      <c r="K22" s="8"/>
      <c r="L22" s="8"/>
      <c r="M22" s="8"/>
    </row>
    <row r="23" spans="1:26" ht="15.75" customHeight="1">
      <c r="B23" s="10"/>
      <c r="C23" s="10"/>
      <c r="D23" s="7"/>
      <c r="E23" s="5">
        <v>13</v>
      </c>
      <c r="F23" s="6" t="s">
        <v>15</v>
      </c>
      <c r="G23" s="7">
        <f>IF(F23=JAWABAN!D17,1,0)</f>
        <v>0</v>
      </c>
      <c r="H23" s="8"/>
      <c r="I23" s="8"/>
      <c r="J23" s="7"/>
      <c r="K23" s="8"/>
      <c r="L23" s="8"/>
      <c r="M23" s="8"/>
    </row>
    <row r="24" spans="1:26" ht="18.75" customHeight="1">
      <c r="A24" s="11"/>
      <c r="B24" s="10"/>
      <c r="C24" s="10"/>
      <c r="D24" s="10"/>
      <c r="E24" s="5">
        <v>14</v>
      </c>
      <c r="F24" s="6" t="s">
        <v>19</v>
      </c>
      <c r="G24" s="7">
        <f>IF(F24=JAWABAN!D18,1,0)</f>
        <v>1</v>
      </c>
      <c r="H24" s="8"/>
      <c r="I24" s="8"/>
      <c r="J24" s="7"/>
      <c r="K24" s="8"/>
      <c r="L24" s="8"/>
      <c r="M24" s="8"/>
      <c r="N24" s="11"/>
      <c r="O24" s="12"/>
      <c r="P24" s="11"/>
      <c r="Q24" s="13"/>
      <c r="R24" s="14"/>
      <c r="S24" s="14"/>
      <c r="T24" s="14"/>
      <c r="U24" s="14"/>
      <c r="V24" s="14"/>
      <c r="W24" s="14"/>
      <c r="X24" s="11"/>
      <c r="Y24" s="11"/>
      <c r="Z24" s="11"/>
    </row>
    <row r="25" spans="1:26" ht="15.75" customHeight="1">
      <c r="D25" s="1">
        <f>SUM(D11:D22)</f>
        <v>5</v>
      </c>
      <c r="G25" s="1">
        <f>SUM(G11:G24)</f>
        <v>4</v>
      </c>
      <c r="J25" s="1">
        <f>SUM(J11:J22)</f>
        <v>5</v>
      </c>
      <c r="M25" s="1">
        <f>SUM(M11:M18)</f>
        <v>1</v>
      </c>
      <c r="O25" s="1">
        <f>SUM(D25:M25)</f>
        <v>15</v>
      </c>
    </row>
    <row r="26" spans="1:26" ht="15.75" customHeight="1"/>
    <row r="27" spans="1:26" ht="15.75" customHeight="1">
      <c r="B27" s="15" t="s">
        <v>21</v>
      </c>
      <c r="C27" s="15"/>
      <c r="D27" s="15"/>
      <c r="E27" s="15"/>
      <c r="F27" s="15"/>
    </row>
    <row r="28" spans="1:26" ht="81.75" customHeight="1">
      <c r="B28" s="27">
        <f>VLOOKUP(O25,'RAW SCORE'!A5:C72,2,FALSE)</f>
        <v>83</v>
      </c>
      <c r="C28" s="28"/>
      <c r="D28" s="16"/>
      <c r="E28" s="29" t="str">
        <f>VLOOKUP(O25,'RAW SCORE'!A5:C72,3,FALSE)</f>
        <v>LOW AVERAGE</v>
      </c>
      <c r="F28" s="30"/>
      <c r="G28" s="30"/>
      <c r="H28" s="30"/>
      <c r="I28" s="30"/>
      <c r="J28" s="30"/>
      <c r="K28" s="30"/>
      <c r="L28" s="28"/>
    </row>
    <row r="29" spans="1:26" ht="15.75" customHeight="1"/>
    <row r="30" spans="1:26" ht="15.75" customHeight="1"/>
    <row r="31" spans="1:26" ht="15.75" customHeight="1"/>
    <row r="32" spans="1:26" ht="15.75" customHeight="1"/>
    <row r="33" spans="3:3" ht="15.75" customHeight="1"/>
    <row r="34" spans="3:3" ht="15.75" customHeight="1"/>
    <row r="35" spans="3:3" ht="15.75" customHeight="1"/>
    <row r="36" spans="3:3" ht="15.75" customHeight="1"/>
    <row r="37" spans="3:3" ht="15.75" customHeight="1"/>
    <row r="38" spans="3:3" ht="15.75" customHeight="1"/>
    <row r="39" spans="3:3" ht="15.75" customHeight="1"/>
    <row r="40" spans="3:3" ht="15.75" customHeight="1">
      <c r="C40" s="11" t="s">
        <v>22</v>
      </c>
    </row>
    <row r="41" spans="3:3" ht="15.75" customHeight="1"/>
    <row r="42" spans="3:3" ht="15.75" customHeight="1"/>
    <row r="43" spans="3:3" ht="15.75" customHeight="1"/>
    <row r="44" spans="3:3" ht="15.75" customHeight="1"/>
    <row r="45" spans="3:3" ht="15.75" customHeight="1"/>
    <row r="46" spans="3:3" ht="15.75" customHeight="1"/>
    <row r="47" spans="3:3" ht="15.75" customHeight="1"/>
    <row r="48" spans="3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10:G10"/>
    <mergeCell ref="H10:J10"/>
    <mergeCell ref="B28:C28"/>
    <mergeCell ref="E28:L28"/>
    <mergeCell ref="A1:P1"/>
    <mergeCell ref="F2:I2"/>
    <mergeCell ref="F3:I3"/>
    <mergeCell ref="F4:I4"/>
    <mergeCell ref="F5:I5"/>
    <mergeCell ref="F6:I6"/>
    <mergeCell ref="B10:D10"/>
    <mergeCell ref="K10:M10"/>
  </mergeCell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1000"/>
  <sheetViews>
    <sheetView workbookViewId="0"/>
  </sheetViews>
  <sheetFormatPr defaultColWidth="14.42578125" defaultRowHeight="15" customHeight="1"/>
  <cols>
    <col min="1" max="1" width="3" customWidth="1"/>
    <col min="2" max="2" width="9.7109375" customWidth="1"/>
    <col min="3" max="3" width="3" customWidth="1"/>
    <col min="4" max="4" width="9.7109375" customWidth="1"/>
    <col min="5" max="5" width="3" customWidth="1"/>
    <col min="6" max="6" width="9.7109375" customWidth="1"/>
    <col min="7" max="7" width="3" customWidth="1"/>
    <col min="8" max="8" width="9.7109375" customWidth="1"/>
    <col min="9" max="26" width="8.7109375" customWidth="1"/>
  </cols>
  <sheetData>
    <row r="3" spans="1:8">
      <c r="A3" s="37" t="s">
        <v>23</v>
      </c>
      <c r="B3" s="38"/>
      <c r="C3" s="38"/>
      <c r="D3" s="38"/>
      <c r="E3" s="38"/>
      <c r="F3" s="38"/>
      <c r="G3" s="38"/>
      <c r="H3" s="38"/>
    </row>
    <row r="4" spans="1:8">
      <c r="A4" s="24" t="s">
        <v>11</v>
      </c>
      <c r="B4" s="26"/>
      <c r="C4" s="24" t="s">
        <v>12</v>
      </c>
      <c r="D4" s="26"/>
      <c r="E4" s="24" t="s">
        <v>13</v>
      </c>
      <c r="F4" s="26"/>
      <c r="G4" s="24" t="s">
        <v>14</v>
      </c>
      <c r="H4" s="26"/>
    </row>
    <row r="5" spans="1:8">
      <c r="A5" s="7">
        <v>1</v>
      </c>
      <c r="B5" s="7" t="s">
        <v>15</v>
      </c>
      <c r="C5" s="7">
        <v>1</v>
      </c>
      <c r="D5" s="7" t="s">
        <v>18</v>
      </c>
      <c r="E5" s="7">
        <v>1</v>
      </c>
      <c r="F5" s="7" t="s">
        <v>16</v>
      </c>
      <c r="G5" s="7">
        <v>1</v>
      </c>
      <c r="H5" s="7" t="s">
        <v>15</v>
      </c>
    </row>
    <row r="6" spans="1:8">
      <c r="A6" s="7">
        <v>2</v>
      </c>
      <c r="B6" s="7" t="s">
        <v>19</v>
      </c>
      <c r="C6" s="7">
        <v>2</v>
      </c>
      <c r="D6" s="7" t="s">
        <v>15</v>
      </c>
      <c r="E6" s="7">
        <v>2</v>
      </c>
      <c r="F6" s="7" t="s">
        <v>15</v>
      </c>
      <c r="G6" s="7">
        <v>2</v>
      </c>
      <c r="H6" s="7" t="s">
        <v>18</v>
      </c>
    </row>
    <row r="7" spans="1:8">
      <c r="A7" s="7">
        <v>3</v>
      </c>
      <c r="B7" s="7" t="s">
        <v>16</v>
      </c>
      <c r="C7" s="7">
        <v>3</v>
      </c>
      <c r="D7" s="7" t="s">
        <v>19</v>
      </c>
      <c r="E7" s="7">
        <v>3</v>
      </c>
      <c r="F7" s="7" t="s">
        <v>18</v>
      </c>
      <c r="G7" s="7">
        <v>3</v>
      </c>
      <c r="H7" s="7" t="s">
        <v>16</v>
      </c>
    </row>
    <row r="8" spans="1:8">
      <c r="A8" s="7">
        <v>4</v>
      </c>
      <c r="B8" s="7" t="s">
        <v>15</v>
      </c>
      <c r="C8" s="7">
        <v>4</v>
      </c>
      <c r="D8" s="7" t="s">
        <v>16</v>
      </c>
      <c r="E8" s="7">
        <v>4</v>
      </c>
      <c r="F8" s="7" t="s">
        <v>17</v>
      </c>
      <c r="G8" s="7">
        <v>4</v>
      </c>
      <c r="H8" s="7" t="s">
        <v>19</v>
      </c>
    </row>
    <row r="9" spans="1:8">
      <c r="A9" s="7">
        <v>5</v>
      </c>
      <c r="B9" s="7" t="s">
        <v>18</v>
      </c>
      <c r="C9" s="7">
        <v>5</v>
      </c>
      <c r="D9" s="7" t="s">
        <v>15</v>
      </c>
      <c r="E9" s="7">
        <v>5</v>
      </c>
      <c r="F9" s="7" t="s">
        <v>15</v>
      </c>
      <c r="G9" s="7">
        <v>5</v>
      </c>
      <c r="H9" s="7" t="s">
        <v>15</v>
      </c>
    </row>
    <row r="10" spans="1:8">
      <c r="A10" s="7">
        <v>6</v>
      </c>
      <c r="B10" s="7" t="s">
        <v>17</v>
      </c>
      <c r="C10" s="7">
        <v>6</v>
      </c>
      <c r="D10" s="7" t="s">
        <v>15</v>
      </c>
      <c r="E10" s="7">
        <v>6</v>
      </c>
      <c r="F10" s="7" t="s">
        <v>16</v>
      </c>
      <c r="G10" s="7">
        <v>6</v>
      </c>
      <c r="H10" s="7" t="s">
        <v>15</v>
      </c>
    </row>
    <row r="11" spans="1:8">
      <c r="A11" s="7">
        <v>7</v>
      </c>
      <c r="B11" s="7" t="s">
        <v>18</v>
      </c>
      <c r="C11" s="7">
        <v>7</v>
      </c>
      <c r="D11" s="7" t="s">
        <v>16</v>
      </c>
      <c r="E11" s="7">
        <v>7</v>
      </c>
      <c r="F11" s="7" t="s">
        <v>18</v>
      </c>
      <c r="G11" s="7">
        <v>7</v>
      </c>
      <c r="H11" s="7" t="s">
        <v>16</v>
      </c>
    </row>
    <row r="12" spans="1:8">
      <c r="A12" s="7">
        <v>8</v>
      </c>
      <c r="B12" s="7" t="s">
        <v>15</v>
      </c>
      <c r="C12" s="7">
        <v>8</v>
      </c>
      <c r="D12" s="7" t="s">
        <v>17</v>
      </c>
      <c r="E12" s="7">
        <v>8</v>
      </c>
      <c r="F12" s="7" t="s">
        <v>19</v>
      </c>
      <c r="G12" s="7">
        <v>8</v>
      </c>
      <c r="H12" s="7" t="s">
        <v>18</v>
      </c>
    </row>
    <row r="13" spans="1:8">
      <c r="A13" s="7">
        <v>9</v>
      </c>
      <c r="B13" s="7" t="s">
        <v>15</v>
      </c>
      <c r="C13" s="7">
        <v>9</v>
      </c>
      <c r="D13" s="7" t="s">
        <v>19</v>
      </c>
      <c r="E13" s="7">
        <v>9</v>
      </c>
      <c r="F13" s="7" t="s">
        <v>17</v>
      </c>
      <c r="G13" s="7">
        <v>9</v>
      </c>
      <c r="H13" s="7"/>
    </row>
    <row r="14" spans="1:8">
      <c r="A14" s="7">
        <v>10</v>
      </c>
      <c r="B14" s="7" t="s">
        <v>15</v>
      </c>
      <c r="C14" s="7">
        <v>10</v>
      </c>
      <c r="D14" s="7" t="s">
        <v>15</v>
      </c>
      <c r="E14" s="7">
        <v>10</v>
      </c>
      <c r="F14" s="7" t="s">
        <v>16</v>
      </c>
      <c r="G14" s="7">
        <v>10</v>
      </c>
      <c r="H14" s="7"/>
    </row>
    <row r="15" spans="1:8">
      <c r="A15" s="7">
        <v>11</v>
      </c>
      <c r="B15" s="7" t="s">
        <v>19</v>
      </c>
      <c r="C15" s="7">
        <v>11</v>
      </c>
      <c r="D15" s="7" t="s">
        <v>15</v>
      </c>
      <c r="E15" s="7">
        <v>11</v>
      </c>
      <c r="F15" s="7" t="s">
        <v>18</v>
      </c>
      <c r="G15" s="7"/>
      <c r="H15" s="7"/>
    </row>
    <row r="16" spans="1:8">
      <c r="A16" s="7">
        <v>12</v>
      </c>
      <c r="B16" s="7" t="s">
        <v>16</v>
      </c>
      <c r="C16" s="7">
        <v>12</v>
      </c>
      <c r="D16" s="7" t="s">
        <v>15</v>
      </c>
      <c r="E16" s="7">
        <v>12</v>
      </c>
      <c r="F16" s="7" t="s">
        <v>18</v>
      </c>
      <c r="G16" s="7"/>
      <c r="H16" s="7"/>
    </row>
    <row r="17" spans="1:8">
      <c r="A17" s="7"/>
      <c r="B17" s="7"/>
      <c r="C17" s="7">
        <v>13</v>
      </c>
      <c r="D17" s="7" t="s">
        <v>16</v>
      </c>
      <c r="E17" s="7">
        <v>13</v>
      </c>
      <c r="F17" s="7"/>
      <c r="G17" s="7"/>
      <c r="H17" s="7"/>
    </row>
    <row r="18" spans="1:8">
      <c r="A18" s="7"/>
      <c r="B18" s="7"/>
      <c r="C18" s="7">
        <v>14</v>
      </c>
      <c r="D18" s="7" t="s">
        <v>19</v>
      </c>
      <c r="E18" s="7"/>
      <c r="F18" s="7"/>
      <c r="G18" s="7"/>
      <c r="H18" s="7"/>
    </row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H3"/>
    <mergeCell ref="A4:B4"/>
    <mergeCell ref="C4:D4"/>
    <mergeCell ref="E4:F4"/>
    <mergeCell ref="G4:H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/>
  <cols>
    <col min="1" max="2" width="8.7109375" customWidth="1"/>
    <col min="3" max="3" width="22.85546875" customWidth="1"/>
    <col min="4" max="26" width="8.7109375" customWidth="1"/>
  </cols>
  <sheetData>
    <row r="1" spans="1:3" ht="15.75">
      <c r="A1" s="17"/>
      <c r="B1" s="39"/>
      <c r="C1" s="40"/>
    </row>
    <row r="2" spans="1:3" ht="47.25">
      <c r="A2" s="18" t="s">
        <v>24</v>
      </c>
      <c r="B2" s="41"/>
      <c r="C2" s="41"/>
    </row>
    <row r="3" spans="1:3" ht="15.75">
      <c r="A3" s="18"/>
      <c r="B3" s="19"/>
      <c r="C3" s="19"/>
    </row>
    <row r="4" spans="1:3" ht="31.5">
      <c r="A4" s="20"/>
      <c r="B4" s="21" t="s">
        <v>25</v>
      </c>
      <c r="C4" s="21" t="s">
        <v>26</v>
      </c>
    </row>
    <row r="5" spans="1:3" ht="15.75">
      <c r="A5" s="22">
        <v>49</v>
      </c>
      <c r="B5" s="21" t="s">
        <v>27</v>
      </c>
      <c r="C5" s="21" t="s">
        <v>28</v>
      </c>
    </row>
    <row r="6" spans="1:3" ht="15.75">
      <c r="A6" s="22">
        <v>48</v>
      </c>
      <c r="B6" s="21">
        <v>183</v>
      </c>
      <c r="C6" s="21" t="s">
        <v>28</v>
      </c>
    </row>
    <row r="7" spans="1:3" ht="15.75">
      <c r="A7" s="22">
        <v>47</v>
      </c>
      <c r="B7" s="21">
        <v>179</v>
      </c>
      <c r="C7" s="21" t="s">
        <v>28</v>
      </c>
    </row>
    <row r="8" spans="1:3" ht="15.75">
      <c r="A8" s="22">
        <v>46</v>
      </c>
      <c r="B8" s="21">
        <v>176</v>
      </c>
      <c r="C8" s="21" t="s">
        <v>28</v>
      </c>
    </row>
    <row r="9" spans="1:3" ht="15.75">
      <c r="A9" s="22">
        <v>45</v>
      </c>
      <c r="B9" s="21">
        <v>173</v>
      </c>
      <c r="C9" s="21" t="s">
        <v>28</v>
      </c>
    </row>
    <row r="10" spans="1:3" ht="15.75">
      <c r="A10" s="22">
        <v>44</v>
      </c>
      <c r="B10" s="21">
        <v>169</v>
      </c>
      <c r="C10" s="21" t="s">
        <v>29</v>
      </c>
    </row>
    <row r="11" spans="1:3" ht="15.75">
      <c r="A11" s="22">
        <v>43</v>
      </c>
      <c r="B11" s="21">
        <v>168</v>
      </c>
      <c r="C11" s="21" t="s">
        <v>29</v>
      </c>
    </row>
    <row r="12" spans="1:3" ht="15.75">
      <c r="A12" s="22">
        <v>42</v>
      </c>
      <c r="B12" s="21">
        <v>165</v>
      </c>
      <c r="C12" s="21" t="s">
        <v>29</v>
      </c>
    </row>
    <row r="13" spans="1:3" ht="15.75">
      <c r="A13" s="22">
        <v>41</v>
      </c>
      <c r="B13" s="21">
        <v>160</v>
      </c>
      <c r="C13" s="21" t="s">
        <v>29</v>
      </c>
    </row>
    <row r="14" spans="1:3" ht="15.75">
      <c r="A14" s="22">
        <v>40</v>
      </c>
      <c r="B14" s="21">
        <v>159</v>
      </c>
      <c r="C14" s="21" t="s">
        <v>29</v>
      </c>
    </row>
    <row r="15" spans="1:3" ht="15.75">
      <c r="A15" s="22">
        <v>39</v>
      </c>
      <c r="B15" s="21">
        <v>155</v>
      </c>
      <c r="C15" s="21" t="s">
        <v>29</v>
      </c>
    </row>
    <row r="16" spans="1:3" ht="15.75">
      <c r="A16" s="22">
        <v>38</v>
      </c>
      <c r="B16" s="21">
        <v>152</v>
      </c>
      <c r="C16" s="21" t="s">
        <v>29</v>
      </c>
    </row>
    <row r="17" spans="1:3" ht="15.75">
      <c r="A17" s="22">
        <v>37</v>
      </c>
      <c r="B17" s="21">
        <v>149</v>
      </c>
      <c r="C17" s="21" t="s">
        <v>29</v>
      </c>
    </row>
    <row r="18" spans="1:3" ht="15.75">
      <c r="A18" s="22">
        <v>36</v>
      </c>
      <c r="B18" s="21">
        <v>145</v>
      </c>
      <c r="C18" s="21" t="s">
        <v>29</v>
      </c>
    </row>
    <row r="19" spans="1:3" ht="15.75">
      <c r="A19" s="22">
        <v>35</v>
      </c>
      <c r="B19" s="21">
        <v>144</v>
      </c>
      <c r="C19" s="21" t="s">
        <v>29</v>
      </c>
    </row>
    <row r="20" spans="1:3" ht="15.75">
      <c r="A20" s="22">
        <v>34</v>
      </c>
      <c r="B20" s="21">
        <v>140</v>
      </c>
      <c r="C20" s="21" t="s">
        <v>29</v>
      </c>
    </row>
    <row r="21" spans="1:3" ht="15.75" customHeight="1">
      <c r="A21" s="22">
        <v>33</v>
      </c>
      <c r="B21" s="21">
        <v>136</v>
      </c>
      <c r="C21" s="21" t="s">
        <v>30</v>
      </c>
    </row>
    <row r="22" spans="1:3" ht="15.75" customHeight="1">
      <c r="A22" s="22">
        <v>32</v>
      </c>
      <c r="B22" s="21">
        <v>133</v>
      </c>
      <c r="C22" s="21" t="s">
        <v>30</v>
      </c>
    </row>
    <row r="23" spans="1:3" ht="15.75" customHeight="1">
      <c r="A23" s="22">
        <v>31</v>
      </c>
      <c r="B23" s="21">
        <v>131</v>
      </c>
      <c r="C23" s="21" t="s">
        <v>30</v>
      </c>
    </row>
    <row r="24" spans="1:3" ht="15.75" customHeight="1">
      <c r="A24" s="22">
        <v>30</v>
      </c>
      <c r="B24" s="21">
        <v>128</v>
      </c>
      <c r="C24" s="21" t="s">
        <v>30</v>
      </c>
    </row>
    <row r="25" spans="1:3" ht="15.75" customHeight="1">
      <c r="A25" s="22">
        <v>29</v>
      </c>
      <c r="B25" s="21">
        <v>124</v>
      </c>
      <c r="C25" s="21" t="s">
        <v>30</v>
      </c>
    </row>
    <row r="26" spans="1:3" ht="15.75" customHeight="1">
      <c r="A26" s="22">
        <v>28</v>
      </c>
      <c r="B26" s="21">
        <v>123</v>
      </c>
      <c r="C26" s="21" t="s">
        <v>30</v>
      </c>
    </row>
    <row r="27" spans="1:3" ht="15.75" customHeight="1">
      <c r="A27" s="22">
        <v>27</v>
      </c>
      <c r="B27" s="21">
        <v>119</v>
      </c>
      <c r="C27" s="23" t="s">
        <v>31</v>
      </c>
    </row>
    <row r="28" spans="1:3" ht="15.75" customHeight="1">
      <c r="A28" s="22">
        <v>26</v>
      </c>
      <c r="B28" s="21">
        <v>116</v>
      </c>
      <c r="C28" s="23" t="s">
        <v>31</v>
      </c>
    </row>
    <row r="29" spans="1:3" ht="15.75" customHeight="1">
      <c r="A29" s="22">
        <v>25</v>
      </c>
      <c r="B29" s="21">
        <v>113</v>
      </c>
      <c r="C29" s="23" t="s">
        <v>31</v>
      </c>
    </row>
    <row r="30" spans="1:3" ht="15.75" customHeight="1">
      <c r="A30" s="22">
        <v>24</v>
      </c>
      <c r="B30" s="21">
        <v>111</v>
      </c>
      <c r="C30" s="23" t="s">
        <v>31</v>
      </c>
    </row>
    <row r="31" spans="1:3" ht="15.75" customHeight="1">
      <c r="A31" s="22">
        <v>24</v>
      </c>
      <c r="B31" s="21">
        <v>109</v>
      </c>
      <c r="C31" s="23" t="s">
        <v>31</v>
      </c>
    </row>
    <row r="32" spans="1:3" ht="15.75" customHeight="1">
      <c r="A32" s="22">
        <v>23</v>
      </c>
      <c r="B32" s="21">
        <v>108</v>
      </c>
      <c r="C32" s="23" t="s">
        <v>31</v>
      </c>
    </row>
    <row r="33" spans="1:3" ht="15.75" customHeight="1">
      <c r="A33" s="22">
        <v>23</v>
      </c>
      <c r="B33" s="21">
        <v>106</v>
      </c>
      <c r="C33" s="23" t="s">
        <v>31</v>
      </c>
    </row>
    <row r="34" spans="1:3" ht="15.75" customHeight="1">
      <c r="A34" s="22">
        <v>22</v>
      </c>
      <c r="B34" s="21">
        <v>104</v>
      </c>
      <c r="C34" s="23" t="s">
        <v>31</v>
      </c>
    </row>
    <row r="35" spans="1:3" ht="15.75" customHeight="1">
      <c r="A35" s="22">
        <v>22</v>
      </c>
      <c r="B35" s="21">
        <v>103</v>
      </c>
      <c r="C35" s="23" t="s">
        <v>31</v>
      </c>
    </row>
    <row r="36" spans="1:3" ht="15.75" customHeight="1">
      <c r="A36" s="22">
        <v>21</v>
      </c>
      <c r="B36" s="21">
        <v>101</v>
      </c>
      <c r="C36" s="23" t="s">
        <v>31</v>
      </c>
    </row>
    <row r="37" spans="1:3" ht="15.75" customHeight="1">
      <c r="A37" s="22">
        <v>21</v>
      </c>
      <c r="B37" s="21">
        <v>100</v>
      </c>
      <c r="C37" s="23" t="s">
        <v>31</v>
      </c>
    </row>
    <row r="38" spans="1:3" ht="15.75" customHeight="1">
      <c r="A38" s="22">
        <v>20</v>
      </c>
      <c r="B38" s="21">
        <v>98</v>
      </c>
      <c r="C38" s="23" t="s">
        <v>31</v>
      </c>
    </row>
    <row r="39" spans="1:3" ht="15.75" customHeight="1">
      <c r="A39" s="22">
        <v>19</v>
      </c>
      <c r="B39" s="21">
        <v>96</v>
      </c>
      <c r="C39" s="23" t="s">
        <v>31</v>
      </c>
    </row>
    <row r="40" spans="1:3" ht="15.75" customHeight="1">
      <c r="A40" s="22">
        <v>19</v>
      </c>
      <c r="B40" s="21">
        <v>94</v>
      </c>
      <c r="C40" s="23" t="s">
        <v>31</v>
      </c>
    </row>
    <row r="41" spans="1:3" ht="15.75" customHeight="1">
      <c r="A41" s="22">
        <v>18</v>
      </c>
      <c r="B41" s="21">
        <v>93</v>
      </c>
      <c r="C41" s="23" t="s">
        <v>31</v>
      </c>
    </row>
    <row r="42" spans="1:3" ht="15.75" customHeight="1">
      <c r="A42" s="22">
        <v>18</v>
      </c>
      <c r="B42" s="21">
        <v>91</v>
      </c>
      <c r="C42" s="23" t="s">
        <v>31</v>
      </c>
    </row>
    <row r="43" spans="1:3" ht="15.75" customHeight="1">
      <c r="A43" s="22">
        <v>17</v>
      </c>
      <c r="B43" s="21">
        <v>89</v>
      </c>
      <c r="C43" s="21" t="s">
        <v>32</v>
      </c>
    </row>
    <row r="44" spans="1:3" ht="15.75" customHeight="1">
      <c r="A44" s="22">
        <v>17</v>
      </c>
      <c r="B44" s="21">
        <v>88</v>
      </c>
      <c r="C44" s="21" t="s">
        <v>32</v>
      </c>
    </row>
    <row r="45" spans="1:3" ht="15.75" customHeight="1">
      <c r="A45" s="22">
        <v>16</v>
      </c>
      <c r="B45" s="21">
        <v>86</v>
      </c>
      <c r="C45" s="21" t="s">
        <v>32</v>
      </c>
    </row>
    <row r="46" spans="1:3" ht="15.75" customHeight="1">
      <c r="A46" s="22">
        <v>16</v>
      </c>
      <c r="B46" s="21">
        <v>85</v>
      </c>
      <c r="C46" s="21" t="s">
        <v>32</v>
      </c>
    </row>
    <row r="47" spans="1:3" ht="15.75" customHeight="1">
      <c r="A47" s="22">
        <v>15</v>
      </c>
      <c r="B47" s="21">
        <v>83</v>
      </c>
      <c r="C47" s="21" t="s">
        <v>32</v>
      </c>
    </row>
    <row r="48" spans="1:3" ht="15.75" customHeight="1">
      <c r="A48" s="22">
        <v>15</v>
      </c>
      <c r="B48" s="21">
        <v>81</v>
      </c>
      <c r="C48" s="21" t="s">
        <v>32</v>
      </c>
    </row>
    <row r="49" spans="1:3" ht="15.75" customHeight="1">
      <c r="A49" s="22">
        <v>14</v>
      </c>
      <c r="B49" s="21">
        <v>80</v>
      </c>
      <c r="C49" s="21" t="s">
        <v>32</v>
      </c>
    </row>
    <row r="50" spans="1:3" ht="15.75" customHeight="1">
      <c r="A50" s="22">
        <v>14</v>
      </c>
      <c r="B50" s="21">
        <v>78</v>
      </c>
      <c r="C50" s="21" t="s">
        <v>33</v>
      </c>
    </row>
    <row r="51" spans="1:3" ht="15.75" customHeight="1">
      <c r="A51" s="22">
        <v>13</v>
      </c>
      <c r="B51" s="21">
        <v>76</v>
      </c>
      <c r="C51" s="21" t="s">
        <v>33</v>
      </c>
    </row>
    <row r="52" spans="1:3" ht="15.75" customHeight="1">
      <c r="A52" s="22">
        <v>13</v>
      </c>
      <c r="B52" s="21">
        <v>75</v>
      </c>
      <c r="C52" s="21" t="s">
        <v>33</v>
      </c>
    </row>
    <row r="53" spans="1:3" ht="15.75" customHeight="1">
      <c r="A53" s="22">
        <v>12</v>
      </c>
      <c r="B53" s="21">
        <v>73</v>
      </c>
      <c r="C53" s="21" t="s">
        <v>33</v>
      </c>
    </row>
    <row r="54" spans="1:3" ht="15.75" customHeight="1">
      <c r="A54" s="22">
        <v>11</v>
      </c>
      <c r="B54" s="21">
        <v>72</v>
      </c>
      <c r="C54" s="21" t="s">
        <v>33</v>
      </c>
    </row>
    <row r="55" spans="1:3" ht="15.75" customHeight="1">
      <c r="A55" s="22">
        <v>11</v>
      </c>
      <c r="B55" s="21">
        <v>70</v>
      </c>
      <c r="C55" s="21" t="s">
        <v>33</v>
      </c>
    </row>
    <row r="56" spans="1:3" ht="15.75" customHeight="1">
      <c r="A56" s="22">
        <v>10</v>
      </c>
      <c r="B56" s="21">
        <v>68</v>
      </c>
      <c r="C56" s="21" t="s">
        <v>33</v>
      </c>
    </row>
    <row r="57" spans="1:3" ht="15.75" customHeight="1">
      <c r="A57" s="22">
        <v>9</v>
      </c>
      <c r="B57" s="21">
        <v>65</v>
      </c>
      <c r="C57" s="21" t="s">
        <v>34</v>
      </c>
    </row>
    <row r="58" spans="1:3" ht="15.75" customHeight="1">
      <c r="A58" s="22">
        <v>9</v>
      </c>
      <c r="B58" s="21">
        <v>63</v>
      </c>
      <c r="C58" s="21" t="s">
        <v>34</v>
      </c>
    </row>
    <row r="59" spans="1:3" ht="15.75" customHeight="1">
      <c r="A59" s="22">
        <v>8</v>
      </c>
      <c r="B59" s="21">
        <v>62</v>
      </c>
      <c r="C59" s="21" t="s">
        <v>34</v>
      </c>
    </row>
    <row r="60" spans="1:3" ht="15.75" customHeight="1">
      <c r="A60" s="22">
        <v>8</v>
      </c>
      <c r="B60" s="21">
        <v>60</v>
      </c>
      <c r="C60" s="21" t="s">
        <v>34</v>
      </c>
    </row>
    <row r="61" spans="1:3" ht="15.75" customHeight="1">
      <c r="A61" s="22">
        <v>7</v>
      </c>
      <c r="B61" s="21">
        <v>58</v>
      </c>
      <c r="C61" s="21" t="s">
        <v>34</v>
      </c>
    </row>
    <row r="62" spans="1:3" ht="15.75" customHeight="1">
      <c r="A62" s="22">
        <v>7</v>
      </c>
      <c r="B62" s="21">
        <v>57</v>
      </c>
      <c r="C62" s="21" t="s">
        <v>34</v>
      </c>
    </row>
    <row r="63" spans="1:3" ht="15.75" customHeight="1">
      <c r="A63" s="22">
        <v>6</v>
      </c>
      <c r="B63" s="21">
        <v>56</v>
      </c>
      <c r="C63" s="21" t="s">
        <v>34</v>
      </c>
    </row>
    <row r="64" spans="1:3" ht="15.75" customHeight="1">
      <c r="A64" s="22">
        <v>6</v>
      </c>
      <c r="B64" s="21">
        <v>55</v>
      </c>
      <c r="C64" s="21" t="s">
        <v>34</v>
      </c>
    </row>
    <row r="65" spans="1:3" ht="15.75" customHeight="1">
      <c r="A65" s="22">
        <v>5</v>
      </c>
      <c r="B65" s="21">
        <v>54</v>
      </c>
      <c r="C65" s="21" t="s">
        <v>34</v>
      </c>
    </row>
    <row r="66" spans="1:3" ht="15.75" customHeight="1">
      <c r="A66" s="22">
        <v>5</v>
      </c>
      <c r="B66" s="21">
        <v>53</v>
      </c>
      <c r="C66" s="21" t="s">
        <v>34</v>
      </c>
    </row>
    <row r="67" spans="1:3" ht="15.75" customHeight="1">
      <c r="A67" s="22">
        <v>4</v>
      </c>
      <c r="B67" s="21">
        <v>51</v>
      </c>
      <c r="C67" s="21" t="s">
        <v>34</v>
      </c>
    </row>
    <row r="68" spans="1:3" ht="15.75" customHeight="1">
      <c r="A68" s="22">
        <v>3</v>
      </c>
      <c r="B68" s="21">
        <v>50</v>
      </c>
      <c r="C68" s="21" t="s">
        <v>34</v>
      </c>
    </row>
    <row r="69" spans="1:3" ht="15.75" customHeight="1">
      <c r="A69" s="22">
        <v>3</v>
      </c>
      <c r="B69" s="21">
        <v>48</v>
      </c>
      <c r="C69" s="21" t="s">
        <v>34</v>
      </c>
    </row>
    <row r="70" spans="1:3" ht="15.75" customHeight="1">
      <c r="A70" s="22">
        <v>2</v>
      </c>
      <c r="B70" s="21">
        <v>47</v>
      </c>
      <c r="C70" s="21" t="s">
        <v>34</v>
      </c>
    </row>
    <row r="71" spans="1:3" ht="15.75" customHeight="1">
      <c r="A71" s="22">
        <v>1</v>
      </c>
      <c r="B71" s="21">
        <v>46</v>
      </c>
      <c r="C71" s="21" t="s">
        <v>34</v>
      </c>
    </row>
    <row r="72" spans="1:3" ht="15.75" customHeight="1">
      <c r="A72" s="22">
        <v>0</v>
      </c>
      <c r="B72" s="21">
        <v>45</v>
      </c>
      <c r="C72" s="21" t="s">
        <v>35</v>
      </c>
    </row>
    <row r="73" spans="1:3" ht="15.75" customHeight="1"/>
    <row r="74" spans="1:3" ht="15.75" customHeight="1"/>
    <row r="75" spans="1:3" ht="15.75" customHeight="1"/>
    <row r="76" spans="1:3" ht="15.75" customHeight="1"/>
    <row r="77" spans="1:3" ht="15.75" customHeight="1"/>
    <row r="78" spans="1:3" ht="15.75" customHeight="1"/>
    <row r="79" spans="1:3" ht="15.75" customHeight="1"/>
    <row r="80" spans="1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Lembar1</vt:lpstr>
      <vt:lpstr>JAWABAN</vt:lpstr>
      <vt:lpstr>RAW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Pande Wira Andika</cp:lastModifiedBy>
  <dcterms:created xsi:type="dcterms:W3CDTF">2021-11-01T13:09:34Z</dcterms:created>
  <dcterms:modified xsi:type="dcterms:W3CDTF">2025-12-08T08:20:36Z</dcterms:modified>
</cp:coreProperties>
</file>